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38127753ab41d2/Desktop/BankManagementSystem_Backup.xlsm/"/>
    </mc:Choice>
  </mc:AlternateContent>
  <xr:revisionPtr revIDLastSave="544" documentId="8_{D517CE46-B3CE-4895-9836-564B78D0458F}" xr6:coauthVersionLast="47" xr6:coauthVersionMax="47" xr10:uidLastSave="{AC74F3F3-D9AE-4A79-8C25-50D23571EE79}"/>
  <bookViews>
    <workbookView xWindow="-108" yWindow="-108" windowWidth="23256" windowHeight="13176" firstSheet="1" activeTab="4" xr2:uid="{17E9566D-AAF7-43AF-A9C4-03DCDD8C8B7A}"/>
  </bookViews>
  <sheets>
    <sheet name="Login" sheetId="1" r:id="rId1"/>
    <sheet name="Mini statement" sheetId="12" r:id="rId2"/>
    <sheet name="Sheet1" sheetId="7" r:id="rId3"/>
    <sheet name="Sheet2" sheetId="13" r:id="rId4"/>
    <sheet name="Accounts" sheetId="2" r:id="rId5"/>
    <sheet name="Transactions" sheetId="3" r:id="rId6"/>
    <sheet name="Sheet6" sheetId="6" r:id="rId7"/>
    <sheet name="Dashboard" sheetId="4" r:id="rId8"/>
  </sheets>
  <definedNames>
    <definedName name="_xlnm.Print_Area" localSheetId="1">'Mini statement'!$A$1:$C$10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B5" i="4"/>
  <c r="B4" i="4"/>
  <c r="B3" i="4"/>
</calcChain>
</file>

<file path=xl/sharedStrings.xml><?xml version="1.0" encoding="utf-8"?>
<sst xmlns="http://schemas.openxmlformats.org/spreadsheetml/2006/main" count="275" uniqueCount="126">
  <si>
    <t>Username</t>
  </si>
  <si>
    <t>Password</t>
  </si>
  <si>
    <t>Role(Admin/User)</t>
  </si>
  <si>
    <t>AccountNo</t>
  </si>
  <si>
    <t>Name</t>
  </si>
  <si>
    <t>Phone</t>
  </si>
  <si>
    <t>Balance</t>
  </si>
  <si>
    <t>TransactionID</t>
  </si>
  <si>
    <t>Type</t>
  </si>
  <si>
    <t>Amount</t>
  </si>
  <si>
    <t>DateTime</t>
  </si>
  <si>
    <t>BalanceAfter</t>
  </si>
  <si>
    <t>Total Accounts</t>
  </si>
  <si>
    <t>Total Balance</t>
  </si>
  <si>
    <t>Total Deposits</t>
  </si>
  <si>
    <t>Total Withdrawls</t>
  </si>
  <si>
    <t>Charts</t>
  </si>
  <si>
    <t>ACC2</t>
  </si>
  <si>
    <t>Adress</t>
  </si>
  <si>
    <t>T2</t>
  </si>
  <si>
    <t>Withdraw</t>
  </si>
  <si>
    <t>BANK MANAGEMENT DASHBOARD</t>
  </si>
  <si>
    <t>MINI STATEMENT</t>
  </si>
  <si>
    <t>Account Number:</t>
  </si>
  <si>
    <t>Date</t>
  </si>
  <si>
    <t>PIN</t>
  </si>
  <si>
    <t>salem</t>
  </si>
  <si>
    <t>T3</t>
  </si>
  <si>
    <t>Deposit</t>
  </si>
  <si>
    <t>ACC5</t>
  </si>
  <si>
    <t>siva</t>
  </si>
  <si>
    <t>ACC7</t>
  </si>
  <si>
    <t>T4</t>
  </si>
  <si>
    <t>ACC8</t>
  </si>
  <si>
    <t>T5</t>
  </si>
  <si>
    <t>T6</t>
  </si>
  <si>
    <t>T7</t>
  </si>
  <si>
    <t>T8</t>
  </si>
  <si>
    <t>ACC9</t>
  </si>
  <si>
    <t>T9</t>
  </si>
  <si>
    <t>T10</t>
  </si>
  <si>
    <t>T11</t>
  </si>
  <si>
    <t>Fast Cash</t>
  </si>
  <si>
    <t>T12</t>
  </si>
  <si>
    <t>ACC12</t>
  </si>
  <si>
    <t>madurai</t>
  </si>
  <si>
    <t>T13</t>
  </si>
  <si>
    <t>T14</t>
  </si>
  <si>
    <t>T15</t>
  </si>
  <si>
    <t>T16</t>
  </si>
  <si>
    <t>T17</t>
  </si>
  <si>
    <t>T18</t>
  </si>
  <si>
    <t>ACC13</t>
  </si>
  <si>
    <t>harini</t>
  </si>
  <si>
    <t>T19</t>
  </si>
  <si>
    <t>T20</t>
  </si>
  <si>
    <t>TYPE</t>
  </si>
  <si>
    <t>AMOUNT</t>
  </si>
  <si>
    <t>DATE</t>
  </si>
  <si>
    <t>Rs. 2300</t>
  </si>
  <si>
    <t>T21</t>
  </si>
  <si>
    <t>ATM Withdraw</t>
  </si>
  <si>
    <t>T22</t>
  </si>
  <si>
    <t>T23</t>
  </si>
  <si>
    <t>T24</t>
  </si>
  <si>
    <t>T25</t>
  </si>
  <si>
    <t>ACC4</t>
  </si>
  <si>
    <t>yuva</t>
  </si>
  <si>
    <t>chennai</t>
  </si>
  <si>
    <t>T26</t>
  </si>
  <si>
    <t>T27</t>
  </si>
  <si>
    <t>T28</t>
  </si>
  <si>
    <t>yuvasri</t>
  </si>
  <si>
    <t>erode</t>
  </si>
  <si>
    <t>ACC6</t>
  </si>
  <si>
    <t>uma</t>
  </si>
  <si>
    <t>yun</t>
  </si>
  <si>
    <t>france</t>
  </si>
  <si>
    <t>banglore</t>
  </si>
  <si>
    <t>kar</t>
  </si>
  <si>
    <t>jolarpet</t>
  </si>
  <si>
    <t>T29</t>
  </si>
  <si>
    <t>T30</t>
  </si>
  <si>
    <t>ACC10</t>
  </si>
  <si>
    <t>sdgjjpfdogfdgoj</t>
  </si>
  <si>
    <t>ACC11</t>
  </si>
  <si>
    <t>dhara</t>
  </si>
  <si>
    <t>acc</t>
  </si>
  <si>
    <t>ACC14</t>
  </si>
  <si>
    <t>grrrf</t>
  </si>
  <si>
    <t>ACC15</t>
  </si>
  <si>
    <t>sivu</t>
  </si>
  <si>
    <t>bfd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</si>
  <si>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</si>
  <si>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</si>
  <si>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</si>
  <si>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</si>
  <si>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</si>
  <si>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</si>
  <si>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</si>
  <si>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</si>
  <si>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</si>
  <si>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</si>
  <si>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</si>
  <si>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</si>
  <si>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</si>
  <si>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</si>
  <si>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</si>
  <si>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</si>
  <si>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</si>
  <si>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</si>
  <si>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ACC16</t>
  </si>
  <si>
    <t>dhana</t>
  </si>
  <si>
    <t>cbe</t>
  </si>
  <si>
    <t>T49</t>
  </si>
  <si>
    <t>T50</t>
  </si>
  <si>
    <t>T51</t>
  </si>
  <si>
    <t>T52</t>
  </si>
  <si>
    <t>T53</t>
  </si>
  <si>
    <t>T54</t>
  </si>
  <si>
    <t>T55</t>
  </si>
  <si>
    <t>ACC17</t>
  </si>
  <si>
    <t>villp</t>
  </si>
  <si>
    <t>T56</t>
  </si>
  <si>
    <t>T57</t>
  </si>
  <si>
    <t>T58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</si>
</sst>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Deposits vs Withdrawals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425595332054424"/>
          <c:y val="4.1666666666668241E-4"/>
          <c:w val="0.57010460907627192"/>
          <c:h val="0.6714577865266842"/>
        </c:manualLayout>
      </c:layout>
      <c:pieChart>
        <c:varyColors val="1"/>
        <c:ser>
          <c:idx val="0"/>
          <c:order val="0"/>
          <c:explosion val="4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00-484B-97E5-E4C0517661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26-4EC6-A42C-2195B55BF857}"/>
              </c:ext>
            </c:extLst>
          </c:dPt>
          <c:cat>
            <c:strRef>
              <c:f>Dashboard!$A$5:$A$6</c:f>
              <c:strCache>
                <c:ptCount val="2"/>
                <c:pt idx="0">
                  <c:v>Total Deposits</c:v>
                </c:pt>
                <c:pt idx="1">
                  <c:v>Total Withdrawls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83900</c:v>
                </c:pt>
                <c:pt idx="1">
                  <c:v>16760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26-4EC6-A42C-2195B55BF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 Bank</a:t>
            </a:r>
            <a:r>
              <a:rPr lang="en-IN" baseline="0"/>
              <a:t> Overview</a:t>
            </a:r>
            <a:endParaRPr lang="en-IN"/>
          </a:p>
        </c:rich>
      </c:tx>
      <c:layout>
        <c:manualLayout>
          <c:xMode val="edge"/>
          <c:yMode val="edge"/>
          <c:x val="0.41186789151356074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Dashboard!$A$3:$A$4</c:f>
              <c:strCache>
                <c:ptCount val="2"/>
                <c:pt idx="0">
                  <c:v>Total Accounts</c:v>
                </c:pt>
                <c:pt idx="1">
                  <c:v>Total Balance</c:v>
                </c:pt>
              </c:strCache>
            </c:strRef>
          </c:cat>
          <c:val>
            <c:numRef>
              <c:f>Dashboard!$B$3:$B$4</c:f>
              <c:numCache>
                <c:formatCode>General</c:formatCode>
                <c:ptCount val="2"/>
                <c:pt idx="0">
                  <c:v>16</c:v>
                </c:pt>
                <c:pt idx="1">
                  <c:v>107794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1-4C63-B673-2E0017558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5721743"/>
        <c:axId val="1015720783"/>
      </c:barChart>
      <c:catAx>
        <c:axId val="101572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720783"/>
        <c:crosses val="autoZero"/>
        <c:auto val="1"/>
        <c:lblAlgn val="ctr"/>
        <c:lblOffset val="100"/>
        <c:noMultiLvlLbl val="0"/>
      </c:catAx>
      <c:valAx>
        <c:axId val="101572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721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474869</xdr:colOff>
      <xdr:row>4</xdr:row>
      <xdr:rowOff>118110</xdr:rowOff>
    </xdr:from>
    <xdr:to>
      <xdr:col>7</xdr:col>
      <xdr:colOff>441966</xdr:colOff>
      <xdr:row>23</xdr:row>
      <xdr:rowOff>66261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C29CBA-7D8F-32F8-BB09-D8E459D130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541131</xdr:colOff>
      <xdr:row>26</xdr:row>
      <xdr:rowOff>91661</xdr:rowOff>
    </xdr:from>
    <xdr:to>
      <xdr:col>7</xdr:col>
      <xdr:colOff>276088</xdr:colOff>
      <xdr:row>41</xdr:row>
      <xdr:rowOff>18774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7E8B12-0B27-0151-598B-E323E926F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B26EC-48EF-4E6E-AB4F-555C7B2F5BEE}">
  <sheetPr codeName="Sheet1"/>
  <dimension ref="A1:C1"/>
  <sheetViews>
    <sheetView workbookViewId="0">
      <selection activeCell="A5" sqref="A5"/>
    </sheetView>
  </sheetViews>
  <sheetFormatPr defaultRowHeight="14.4" x14ac:dyDescent="0.3"/>
  <cols>
    <col min="1" max="1" width="16.109375" customWidth="1"/>
    <col min="2" max="2" width="15.21875" customWidth="1"/>
    <col min="3" max="3" width="20.6640625" customWidth="1"/>
  </cols>
  <sheetData>
    <row r="1" spans="1:3" x14ac:dyDescent="0.3">
      <c r="A1" t="s">
        <v>0</v>
      </c>
      <c r="B1" t="s">
        <v>1</v>
      </c>
      <c r="C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874E-C821-4A05-8B98-E6F5A4DE01A1}">
  <sheetPr codeName="Sheet12">
    <pageSetUpPr fitToPage="1"/>
  </sheetPr>
  <dimension ref="A1:C100"/>
  <sheetViews>
    <sheetView workbookViewId="0">
      <selection sqref="A1:C1"/>
    </sheetView>
  </sheetViews>
  <sheetFormatPr defaultRowHeight="14.4" x14ac:dyDescent="0.3"/>
  <cols>
    <col min="1" max="1" width="15.5546875" bestFit="1" customWidth="1"/>
    <col min="2" max="2" width="8.33203125" bestFit="1" customWidth="1"/>
    <col min="3" max="3" width="14.33203125" bestFit="1" customWidth="1"/>
  </cols>
  <sheetData>
    <row r="1" spans="1:3" ht="23.4" x14ac:dyDescent="0.45">
      <c r="A1" s="8" t="s">
        <v>22</v>
      </c>
      <c r="B1" s="8"/>
      <c r="C1" s="8"/>
    </row>
    <row r="2" spans="1:3" x14ac:dyDescent="0.3">
      <c r="A2" s="3" t="s">
        <v>23</v>
      </c>
      <c r="B2" s="3" t="s">
        <v>44</v>
      </c>
      <c r="C2" s="4"/>
    </row>
    <row r="3" spans="1:3" x14ac:dyDescent="0.3">
      <c r="A3" s="4"/>
      <c r="B3" s="4"/>
      <c r="C3" s="4"/>
    </row>
    <row r="4" spans="1:3" x14ac:dyDescent="0.3">
      <c r="A4" s="5" t="s">
        <v>56</v>
      </c>
      <c r="B4" s="5" t="s">
        <v>57</v>
      </c>
      <c r="C4" s="5" t="s">
        <v>58</v>
      </c>
    </row>
    <row r="5" spans="1:3" x14ac:dyDescent="0.3">
      <c r="A5" s="6" t="s">
        <v>28</v>
      </c>
      <c r="B5" s="6" t="s">
        <v>59</v>
      </c>
      <c r="C5" s="7">
        <v>46163.886284722219</v>
      </c>
    </row>
    <row r="6" spans="1:3" x14ac:dyDescent="0.3">
      <c r="A6" s="6" t="s">
        <v>20</v>
      </c>
      <c r="B6" s="6" t="s">
        <v>59</v>
      </c>
      <c r="C6" s="7">
        <v>46163.886319444442</v>
      </c>
    </row>
    <row r="7" spans="1:3" x14ac:dyDescent="0.3">
      <c r="A7" s="6" t="s">
        <v>28</v>
      </c>
      <c r="B7" s="6" t="s">
        <v>59</v>
      </c>
      <c r="C7" s="7">
        <v>46163.886365740742</v>
      </c>
    </row>
    <row r="8" spans="1:3" x14ac:dyDescent="0.3">
      <c r="A8" s="6" t="s">
        <v>28</v>
      </c>
      <c r="B8" s="6" t="s">
        <v>59</v>
      </c>
      <c r="C8" s="7">
        <v>46163.886400462965</v>
      </c>
    </row>
    <row r="9" spans="1:3" x14ac:dyDescent="0.3">
      <c r="A9" s="6" t="s">
        <v>20</v>
      </c>
      <c r="B9" s="6" t="s">
        <v>59</v>
      </c>
      <c r="C9" s="7">
        <v>46163.886423611111</v>
      </c>
    </row>
    <row r="10" spans="1:3" x14ac:dyDescent="0.3">
      <c r="A10" s="6" t="s">
        <v>28</v>
      </c>
      <c r="B10" s="6" t="s">
        <v>59</v>
      </c>
      <c r="C10" s="7">
        <v>46163.886481481481</v>
      </c>
    </row>
    <row r="11" spans="1:3" x14ac:dyDescent="0.3">
      <c r="A11" s="4"/>
      <c r="B11" s="4"/>
      <c r="C11" s="4"/>
    </row>
    <row r="12" spans="1:3" x14ac:dyDescent="0.3">
      <c r="A12" s="4"/>
      <c r="B12" s="4"/>
      <c r="C12" s="4"/>
    </row>
    <row r="13" spans="1:3" x14ac:dyDescent="0.3">
      <c r="A13" s="4"/>
      <c r="B13" s="4"/>
      <c r="C13" s="4"/>
    </row>
    <row r="14" spans="1:3" x14ac:dyDescent="0.3">
      <c r="A14" s="4"/>
      <c r="B14" s="4"/>
      <c r="C14" s="4"/>
    </row>
    <row r="15" spans="1:3" x14ac:dyDescent="0.3">
      <c r="A15" s="4"/>
      <c r="B15" s="4"/>
      <c r="C15" s="4"/>
    </row>
    <row r="16" spans="1:3" x14ac:dyDescent="0.3">
      <c r="A16" s="4"/>
      <c r="B16" s="4"/>
      <c r="C16" s="4"/>
    </row>
    <row r="17" spans="1:3" x14ac:dyDescent="0.3">
      <c r="A17" s="4"/>
      <c r="B17" s="4"/>
      <c r="C17" s="4"/>
    </row>
    <row r="18" spans="1:3" x14ac:dyDescent="0.3">
      <c r="A18" s="4"/>
      <c r="B18" s="4"/>
      <c r="C18" s="4"/>
    </row>
    <row r="19" spans="1:3" x14ac:dyDescent="0.3">
      <c r="A19" s="4"/>
      <c r="B19" s="4"/>
      <c r="C19" s="4"/>
    </row>
    <row r="20" spans="1:3" x14ac:dyDescent="0.3">
      <c r="A20" s="4"/>
      <c r="B20" s="4"/>
      <c r="C20" s="4"/>
    </row>
    <row r="21" spans="1:3" x14ac:dyDescent="0.3">
      <c r="A21" s="4"/>
      <c r="B21" s="4"/>
      <c r="C21" s="4"/>
    </row>
    <row r="22" spans="1:3" x14ac:dyDescent="0.3">
      <c r="A22" s="4"/>
      <c r="B22" s="4"/>
      <c r="C22" s="4"/>
    </row>
    <row r="23" spans="1:3" x14ac:dyDescent="0.3">
      <c r="A23" s="4"/>
      <c r="B23" s="4"/>
      <c r="C23" s="4"/>
    </row>
    <row r="24" spans="1:3" x14ac:dyDescent="0.3">
      <c r="A24" s="4"/>
      <c r="B24" s="4"/>
      <c r="C24" s="4"/>
    </row>
    <row r="25" spans="1:3" x14ac:dyDescent="0.3">
      <c r="A25" s="4"/>
      <c r="B25" s="4"/>
      <c r="C25" s="4"/>
    </row>
    <row r="26" spans="1:3" x14ac:dyDescent="0.3">
      <c r="A26" s="4"/>
      <c r="B26" s="4"/>
      <c r="C26" s="4"/>
    </row>
    <row r="27" spans="1:3" x14ac:dyDescent="0.3">
      <c r="A27" s="4"/>
      <c r="B27" s="4"/>
      <c r="C27" s="4"/>
    </row>
    <row r="28" spans="1:3" x14ac:dyDescent="0.3">
      <c r="A28" s="4"/>
      <c r="B28" s="4"/>
      <c r="C28" s="4"/>
    </row>
    <row r="29" spans="1:3" x14ac:dyDescent="0.3">
      <c r="A29" s="4"/>
      <c r="B29" s="4"/>
      <c r="C29" s="4"/>
    </row>
    <row r="30" spans="1:3" x14ac:dyDescent="0.3">
      <c r="A30" s="4"/>
      <c r="B30" s="4"/>
      <c r="C30" s="4"/>
    </row>
    <row r="31" spans="1:3" x14ac:dyDescent="0.3">
      <c r="A31" s="4"/>
      <c r="B31" s="4"/>
      <c r="C31" s="4"/>
    </row>
    <row r="32" spans="1:3" x14ac:dyDescent="0.3">
      <c r="A32" s="4"/>
      <c r="B32" s="4"/>
      <c r="C32" s="4"/>
    </row>
    <row r="33" spans="1:3" x14ac:dyDescent="0.3">
      <c r="A33" s="4"/>
      <c r="B33" s="4"/>
      <c r="C33" s="4"/>
    </row>
    <row r="34" spans="1:3" x14ac:dyDescent="0.3">
      <c r="A34" s="4"/>
      <c r="B34" s="4"/>
      <c r="C34" s="4"/>
    </row>
    <row r="35" spans="1:3" x14ac:dyDescent="0.3">
      <c r="A35" s="4"/>
      <c r="B35" s="4"/>
      <c r="C35" s="4"/>
    </row>
    <row r="36" spans="1:3" x14ac:dyDescent="0.3">
      <c r="A36" s="4"/>
      <c r="B36" s="4"/>
      <c r="C36" s="4"/>
    </row>
    <row r="37" spans="1:3" x14ac:dyDescent="0.3">
      <c r="A37" s="4"/>
      <c r="B37" s="4"/>
      <c r="C37" s="4"/>
    </row>
    <row r="38" spans="1:3" x14ac:dyDescent="0.3">
      <c r="A38" s="4"/>
      <c r="B38" s="4"/>
      <c r="C38" s="4"/>
    </row>
    <row r="39" spans="1:3" x14ac:dyDescent="0.3">
      <c r="A39" s="4"/>
      <c r="B39" s="4"/>
      <c r="C39" s="4"/>
    </row>
    <row r="40" spans="1:3" x14ac:dyDescent="0.3">
      <c r="A40" s="4"/>
      <c r="B40" s="4"/>
      <c r="C40" s="4"/>
    </row>
    <row r="41" spans="1:3" x14ac:dyDescent="0.3">
      <c r="A41" s="4"/>
      <c r="B41" s="4"/>
      <c r="C41" s="4"/>
    </row>
    <row r="42" spans="1:3" x14ac:dyDescent="0.3">
      <c r="A42" s="4"/>
      <c r="B42" s="4"/>
      <c r="C42" s="4"/>
    </row>
    <row r="43" spans="1:3" x14ac:dyDescent="0.3">
      <c r="A43" s="4"/>
      <c r="B43" s="4"/>
      <c r="C43" s="4"/>
    </row>
    <row r="44" spans="1:3" x14ac:dyDescent="0.3">
      <c r="A44" s="4"/>
      <c r="B44" s="4"/>
      <c r="C44" s="4"/>
    </row>
    <row r="45" spans="1:3" x14ac:dyDescent="0.3">
      <c r="A45" s="4"/>
      <c r="B45" s="4"/>
      <c r="C45" s="4"/>
    </row>
    <row r="46" spans="1:3" x14ac:dyDescent="0.3">
      <c r="A46" s="4"/>
      <c r="B46" s="4"/>
      <c r="C46" s="4"/>
    </row>
    <row r="47" spans="1:3" x14ac:dyDescent="0.3">
      <c r="A47" s="4"/>
      <c r="B47" s="4"/>
      <c r="C47" s="4"/>
    </row>
    <row r="48" spans="1:3" x14ac:dyDescent="0.3">
      <c r="A48" s="4"/>
      <c r="B48" s="4"/>
      <c r="C48" s="4"/>
    </row>
    <row r="49" spans="1:3" x14ac:dyDescent="0.3">
      <c r="A49" s="4"/>
      <c r="B49" s="4"/>
      <c r="C49" s="4"/>
    </row>
    <row r="50" spans="1:3" x14ac:dyDescent="0.3">
      <c r="A50" s="4"/>
      <c r="B50" s="4"/>
      <c r="C50" s="4"/>
    </row>
    <row r="51" spans="1:3" x14ac:dyDescent="0.3">
      <c r="A51" s="4"/>
      <c r="B51" s="4"/>
      <c r="C51" s="4"/>
    </row>
    <row r="52" spans="1:3" x14ac:dyDescent="0.3">
      <c r="A52" s="4"/>
      <c r="B52" s="4"/>
      <c r="C52" s="4"/>
    </row>
    <row r="53" spans="1:3" x14ac:dyDescent="0.3">
      <c r="A53" s="4"/>
      <c r="B53" s="4"/>
      <c r="C53" s="4"/>
    </row>
    <row r="54" spans="1:3" x14ac:dyDescent="0.3">
      <c r="A54" s="4"/>
      <c r="B54" s="4"/>
      <c r="C54" s="4"/>
    </row>
    <row r="55" spans="1:3" x14ac:dyDescent="0.3">
      <c r="A55" s="4"/>
      <c r="B55" s="4"/>
      <c r="C55" s="4"/>
    </row>
    <row r="56" spans="1:3" x14ac:dyDescent="0.3">
      <c r="A56" s="4"/>
      <c r="B56" s="4"/>
      <c r="C56" s="4"/>
    </row>
    <row r="57" spans="1:3" x14ac:dyDescent="0.3">
      <c r="A57" s="4"/>
      <c r="B57" s="4"/>
      <c r="C57" s="4"/>
    </row>
    <row r="58" spans="1:3" x14ac:dyDescent="0.3">
      <c r="A58" s="4"/>
      <c r="B58" s="4"/>
      <c r="C58" s="4"/>
    </row>
    <row r="59" spans="1:3" x14ac:dyDescent="0.3">
      <c r="A59" s="4"/>
      <c r="B59" s="4"/>
      <c r="C59" s="4"/>
    </row>
    <row r="60" spans="1:3" x14ac:dyDescent="0.3">
      <c r="A60" s="4"/>
      <c r="B60" s="4"/>
      <c r="C60" s="4"/>
    </row>
    <row r="61" spans="1:3" x14ac:dyDescent="0.3">
      <c r="A61" s="4"/>
      <c r="B61" s="4"/>
      <c r="C61" s="4"/>
    </row>
    <row r="62" spans="1:3" x14ac:dyDescent="0.3">
      <c r="A62" s="4"/>
      <c r="B62" s="4"/>
      <c r="C62" s="4"/>
    </row>
    <row r="63" spans="1:3" x14ac:dyDescent="0.3">
      <c r="A63" s="4"/>
      <c r="B63" s="4"/>
      <c r="C63" s="4"/>
    </row>
    <row r="64" spans="1:3" x14ac:dyDescent="0.3">
      <c r="A64" s="4"/>
      <c r="B64" s="4"/>
      <c r="C64" s="4"/>
    </row>
    <row r="65" spans="1:3" x14ac:dyDescent="0.3">
      <c r="A65" s="4"/>
      <c r="B65" s="4"/>
      <c r="C65" s="4"/>
    </row>
    <row r="66" spans="1:3" x14ac:dyDescent="0.3">
      <c r="A66" s="4"/>
      <c r="B66" s="4"/>
      <c r="C66" s="4"/>
    </row>
    <row r="67" spans="1:3" x14ac:dyDescent="0.3">
      <c r="A67" s="4"/>
      <c r="B67" s="4"/>
      <c r="C67" s="4"/>
    </row>
    <row r="68" spans="1:3" x14ac:dyDescent="0.3">
      <c r="A68" s="4"/>
      <c r="B68" s="4"/>
      <c r="C68" s="4"/>
    </row>
    <row r="69" spans="1:3" x14ac:dyDescent="0.3">
      <c r="A69" s="4"/>
      <c r="B69" s="4"/>
      <c r="C69" s="4"/>
    </row>
    <row r="70" spans="1:3" x14ac:dyDescent="0.3">
      <c r="A70" s="4"/>
      <c r="B70" s="4"/>
      <c r="C70" s="4"/>
    </row>
    <row r="71" spans="1:3" x14ac:dyDescent="0.3">
      <c r="A71" s="4"/>
      <c r="B71" s="4"/>
      <c r="C71" s="4"/>
    </row>
    <row r="72" spans="1:3" x14ac:dyDescent="0.3">
      <c r="A72" s="4"/>
      <c r="B72" s="4"/>
      <c r="C72" s="4"/>
    </row>
    <row r="73" spans="1:3" x14ac:dyDescent="0.3">
      <c r="A73" s="4"/>
      <c r="B73" s="4"/>
      <c r="C73" s="4"/>
    </row>
    <row r="74" spans="1:3" x14ac:dyDescent="0.3">
      <c r="A74" s="4"/>
      <c r="B74" s="4"/>
      <c r="C74" s="4"/>
    </row>
    <row r="75" spans="1:3" x14ac:dyDescent="0.3">
      <c r="A75" s="4"/>
      <c r="B75" s="4"/>
      <c r="C75" s="4"/>
    </row>
    <row r="76" spans="1:3" x14ac:dyDescent="0.3">
      <c r="A76" s="4"/>
      <c r="B76" s="4"/>
      <c r="C76" s="4"/>
    </row>
    <row r="77" spans="1:3" x14ac:dyDescent="0.3">
      <c r="A77" s="4"/>
      <c r="B77" s="4"/>
      <c r="C77" s="4"/>
    </row>
    <row r="78" spans="1:3" x14ac:dyDescent="0.3">
      <c r="A78" s="4"/>
      <c r="B78" s="4"/>
      <c r="C78" s="4"/>
    </row>
    <row r="79" spans="1:3" x14ac:dyDescent="0.3">
      <c r="A79" s="4"/>
      <c r="B79" s="4"/>
      <c r="C79" s="4"/>
    </row>
    <row r="80" spans="1:3" x14ac:dyDescent="0.3">
      <c r="A80" s="4"/>
      <c r="B80" s="4"/>
      <c r="C80" s="4"/>
    </row>
    <row r="81" spans="1:3" x14ac:dyDescent="0.3">
      <c r="A81" s="4"/>
      <c r="B81" s="4"/>
      <c r="C81" s="4"/>
    </row>
    <row r="82" spans="1:3" x14ac:dyDescent="0.3">
      <c r="A82" s="4"/>
      <c r="B82" s="4"/>
      <c r="C82" s="4"/>
    </row>
    <row r="83" spans="1:3" x14ac:dyDescent="0.3">
      <c r="A83" s="4"/>
      <c r="B83" s="4"/>
      <c r="C83" s="4"/>
    </row>
    <row r="84" spans="1:3" x14ac:dyDescent="0.3">
      <c r="A84" s="4"/>
      <c r="B84" s="4"/>
      <c r="C84" s="4"/>
    </row>
    <row r="85" spans="1:3" x14ac:dyDescent="0.3">
      <c r="A85" s="4"/>
      <c r="B85" s="4"/>
      <c r="C85" s="4"/>
    </row>
    <row r="86" spans="1:3" x14ac:dyDescent="0.3">
      <c r="A86" s="4"/>
      <c r="B86" s="4"/>
      <c r="C86" s="4"/>
    </row>
    <row r="87" spans="1:3" x14ac:dyDescent="0.3">
      <c r="A87" s="4"/>
      <c r="B87" s="4"/>
      <c r="C87" s="4"/>
    </row>
    <row r="88" spans="1:3" x14ac:dyDescent="0.3">
      <c r="A88" s="4"/>
      <c r="B88" s="4"/>
      <c r="C88" s="4"/>
    </row>
    <row r="89" spans="1:3" x14ac:dyDescent="0.3">
      <c r="A89" s="4"/>
      <c r="B89" s="4"/>
      <c r="C89" s="4"/>
    </row>
    <row r="90" spans="1:3" x14ac:dyDescent="0.3">
      <c r="A90" s="4"/>
      <c r="B90" s="4"/>
      <c r="C90" s="4"/>
    </row>
    <row r="91" spans="1:3" x14ac:dyDescent="0.3">
      <c r="A91" s="4"/>
      <c r="B91" s="4"/>
      <c r="C91" s="4"/>
    </row>
    <row r="92" spans="1:3" x14ac:dyDescent="0.3">
      <c r="A92" s="4"/>
      <c r="B92" s="4"/>
      <c r="C92" s="4"/>
    </row>
    <row r="93" spans="1:3" x14ac:dyDescent="0.3">
      <c r="A93" s="4"/>
      <c r="B93" s="4"/>
      <c r="C93" s="4"/>
    </row>
    <row r="94" spans="1:3" x14ac:dyDescent="0.3">
      <c r="A94" s="4"/>
      <c r="B94" s="4"/>
      <c r="C94" s="4"/>
    </row>
    <row r="95" spans="1:3" x14ac:dyDescent="0.3">
      <c r="A95" s="4"/>
      <c r="B95" s="4"/>
      <c r="C95" s="4"/>
    </row>
    <row r="96" spans="1:3" x14ac:dyDescent="0.3">
      <c r="A96" s="4"/>
      <c r="B96" s="4"/>
      <c r="C96" s="4"/>
    </row>
    <row r="97" spans="1:3" x14ac:dyDescent="0.3">
      <c r="A97" s="4"/>
      <c r="B97" s="4"/>
      <c r="C97" s="4"/>
    </row>
    <row r="98" spans="1:3" x14ac:dyDescent="0.3">
      <c r="A98" s="4"/>
      <c r="B98" s="4"/>
      <c r="C98" s="4"/>
    </row>
    <row r="99" spans="1:3" x14ac:dyDescent="0.3">
      <c r="A99" s="4"/>
      <c r="B99" s="4"/>
      <c r="C99" s="4"/>
    </row>
    <row r="100" spans="1:3" x14ac:dyDescent="0.3">
      <c r="A100" s="4"/>
      <c r="B100" s="4"/>
      <c r="C100" s="4"/>
    </row>
  </sheetData>
  <mergeCells count="1">
    <mergeCell ref="A1:C1"/>
  </mergeCells>
  <printOptions horizontalCentered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0B251-E105-4E2E-9DEC-CFB10238E3AE}">
  <sheetPr codeName="Sheet7"/>
  <dimension ref="A2:C6"/>
  <sheetViews>
    <sheetView workbookViewId="0"/>
  </sheetViews>
  <sheetFormatPr defaultRowHeight="14.4" x14ac:dyDescent="0.3"/>
  <sheetData>
    <row r="2" spans="1:3" x14ac:dyDescent="0.3">
      <c r="A2" t="s">
        <v>23</v>
      </c>
      <c r="B2" t="s">
        <v>52</v>
      </c>
    </row>
    <row r="4" spans="1:3" x14ac:dyDescent="0.3">
      <c r="A4" t="s">
        <v>8</v>
      </c>
      <c r="B4" t="s">
        <v>9</v>
      </c>
      <c r="C4" t="s">
        <v>24</v>
      </c>
    </row>
    <row r="5" spans="1:3" x14ac:dyDescent="0.3">
      <c r="A5" t="s">
        <v>28</v>
      </c>
      <c r="B5">
        <v>60000</v>
      </c>
      <c r="C5" s="1">
        <v>46163.894131944442</v>
      </c>
    </row>
    <row r="6" spans="1:3" x14ac:dyDescent="0.3">
      <c r="A6" t="s">
        <v>20</v>
      </c>
      <c r="B6">
        <v>600</v>
      </c>
      <c r="C6" s="1">
        <v>46163.894189814811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871EE-E3DA-48F7-9612-23CC647AFC38}">
  <sheetPr codeName="Sheet5"/>
  <dimension ref="A1:C4"/>
  <sheetViews>
    <sheetView workbookViewId="0"/>
  </sheetViews>
  <sheetFormatPr defaultRowHeight="14.4" x14ac:dyDescent="0.3"/>
  <sheetData>
    <row r="1" spans="1:3" x14ac:dyDescent="0.3">
      <c r="A1" t="s">
        <v>22</v>
      </c>
    </row>
    <row r="2" spans="1:3" x14ac:dyDescent="0.3">
      <c r="A2" t="s">
        <v>23</v>
      </c>
      <c r="B2">
        <v>2345</v>
      </c>
    </row>
    <row r="4" spans="1:3" x14ac:dyDescent="0.3">
      <c r="A4" t="s">
        <v>8</v>
      </c>
      <c r="B4" t="s">
        <v>9</v>
      </c>
      <c r="C4" t="s">
        <v>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75116-EF07-4F1B-B405-570FBF19F06D}">
  <sheetPr codeName="Sheet2"/>
  <dimension ref="A1:F17"/>
  <sheetViews>
    <sheetView tabSelected="1" workbookViewId="0">
      <selection activeCell="O26" sqref="O26"/>
    </sheetView>
  </sheetViews>
  <sheetFormatPr defaultRowHeight="14.4" x14ac:dyDescent="0.3"/>
  <cols>
    <col min="1" max="1" width="12.44140625" customWidth="1"/>
    <col min="2" max="2" width="14.77734375" customWidth="1"/>
    <col min="3" max="3" width="13.21875" customWidth="1"/>
    <col min="4" max="4" width="13.44140625" customWidth="1"/>
    <col min="5" max="5" width="13.77734375" customWidth="1"/>
    <col min="6" max="6" width="14.6640625" customWidth="1"/>
  </cols>
  <sheetData>
    <row r="1" spans="1:6" x14ac:dyDescent="0.3">
      <c r="A1" t="s">
        <v>3</v>
      </c>
      <c r="B1" t="s">
        <v>4</v>
      </c>
      <c r="C1" t="s">
        <v>5</v>
      </c>
      <c r="D1" t="s">
        <v>18</v>
      </c>
      <c r="E1" t="s">
        <v>6</v>
      </c>
      <c r="F1" t="s">
        <v>25</v>
      </c>
    </row>
    <row r="2" spans="1:6" x14ac:dyDescent="0.3">
      <c r="A2" t="s">
        <v>44</v>
      </c>
      <c r="B2" t="s">
        <v>30</v>
      </c>
      <c r="C2">
        <v>26478833</v>
      </c>
      <c r="D2" t="s">
        <v>45</v>
      </c>
      <c r="E2">
        <v>5200</v>
      </c>
      <c r="F2">
        <v>2345</v>
      </c>
    </row>
    <row r="3" spans="1:6" x14ac:dyDescent="0.3">
      <c r="A3" t="s">
        <v>52</v>
      </c>
      <c r="B3" t="s">
        <v>53</v>
      </c>
      <c r="C3">
        <v>367238493</v>
      </c>
      <c r="D3" t="s">
        <v>26</v>
      </c>
      <c r="E3">
        <v>59800</v>
      </c>
      <c r="F3">
        <v>1235</v>
      </c>
    </row>
    <row r="4" spans="1:6" x14ac:dyDescent="0.3">
      <c r="A4" t="s">
        <v>66</v>
      </c>
      <c r="B4" t="s">
        <v>67</v>
      </c>
      <c r="C4">
        <v>4792420482</v>
      </c>
      <c r="D4" t="s">
        <v>68</v>
      </c>
      <c r="E4">
        <v>600</v>
      </c>
    </row>
    <row r="5" spans="1:6" x14ac:dyDescent="0.3">
      <c r="A5" t="s">
        <v>29</v>
      </c>
      <c r="B5" t="s">
        <v>72</v>
      </c>
      <c r="C5">
        <v>494239048</v>
      </c>
      <c r="D5" t="s">
        <v>73</v>
      </c>
      <c r="E5">
        <v>3000</v>
      </c>
    </row>
    <row r="6" spans="1:6" x14ac:dyDescent="0.3">
      <c r="A6" t="s">
        <v>74</v>
      </c>
      <c r="B6" t="s">
        <v>75</v>
      </c>
      <c r="C6">
        <v>344654333</v>
      </c>
      <c r="D6" t="s">
        <v>26</v>
      </c>
      <c r="E6">
        <v>3040</v>
      </c>
    </row>
    <row r="7" spans="1:6" x14ac:dyDescent="0.3">
      <c r="A7" t="s">
        <v>31</v>
      </c>
      <c r="B7" t="s">
        <v>76</v>
      </c>
      <c r="C7">
        <v>89434329</v>
      </c>
      <c r="D7" t="s">
        <v>77</v>
      </c>
      <c r="E7">
        <v>2454</v>
      </c>
      <c r="F7">
        <v>1234</v>
      </c>
    </row>
    <row r="8" spans="1:6" x14ac:dyDescent="0.3">
      <c r="A8" t="s">
        <v>33</v>
      </c>
      <c r="B8" t="s">
        <v>72</v>
      </c>
      <c r="C8">
        <v>679685764</v>
      </c>
      <c r="D8" t="s">
        <v>78</v>
      </c>
      <c r="E8">
        <v>800</v>
      </c>
    </row>
    <row r="9" spans="1:6" x14ac:dyDescent="0.3">
      <c r="A9" t="s">
        <v>38</v>
      </c>
      <c r="B9" t="s">
        <v>79</v>
      </c>
      <c r="C9">
        <v>88685568</v>
      </c>
      <c r="D9" t="s">
        <v>80</v>
      </c>
      <c r="E9">
        <v>700</v>
      </c>
    </row>
    <row r="10" spans="1:6" x14ac:dyDescent="0.3">
      <c r="A10" t="s">
        <v>83</v>
      </c>
      <c r="B10" t="s">
        <v>84</v>
      </c>
      <c r="C10">
        <v>46586979</v>
      </c>
    </row>
    <row r="11" spans="1:6" x14ac:dyDescent="0.3">
      <c r="A11" t="s">
        <v>85</v>
      </c>
      <c r="B11" t="s">
        <v>86</v>
      </c>
      <c r="C11">
        <v>869504400</v>
      </c>
    </row>
    <row r="12" spans="1:6" x14ac:dyDescent="0.3">
      <c r="A12" t="s">
        <v>44</v>
      </c>
      <c r="B12" t="s">
        <v>87</v>
      </c>
      <c r="C12">
        <v>67897979</v>
      </c>
      <c r="D12" t="s">
        <v>78</v>
      </c>
      <c r="E12">
        <v>700</v>
      </c>
      <c r="F12">
        <v>7890</v>
      </c>
    </row>
    <row r="13" spans="1:6" x14ac:dyDescent="0.3">
      <c r="A13" t="s">
        <v>52</v>
      </c>
      <c r="B13" t="s">
        <v>67</v>
      </c>
      <c r="C13">
        <v>89038043</v>
      </c>
      <c r="D13" t="s">
        <v>68</v>
      </c>
      <c r="E13">
        <v>400</v>
      </c>
      <c r="F13">
        <v>2025</v>
      </c>
    </row>
    <row r="14" spans="1:6" x14ac:dyDescent="0.3">
      <c r="A14" t="s">
        <v>88</v>
      </c>
      <c r="B14" t="s">
        <v>30</v>
      </c>
      <c r="C14">
        <v>3509303503</v>
      </c>
      <c r="D14" t="s">
        <v>89</v>
      </c>
      <c r="E14">
        <v>5000</v>
      </c>
      <c r="F14">
        <v>1234</v>
      </c>
    </row>
    <row r="15" spans="1:6" x14ac:dyDescent="0.3">
      <c r="A15" t="s">
        <v>90</v>
      </c>
      <c r="B15" t="s">
        <v>91</v>
      </c>
      <c r="C15">
        <v>4234354353</v>
      </c>
      <c r="D15" t="s">
        <v>92</v>
      </c>
      <c r="E15">
        <v>400</v>
      </c>
      <c r="F15">
        <v>500</v>
      </c>
    </row>
    <row r="16" spans="1:6" x14ac:dyDescent="0.3">
      <c r="A16" t="s">
        <v>111</v>
      </c>
      <c r="B16" t="s">
        <v>112</v>
      </c>
      <c r="C16">
        <v>840848320442</v>
      </c>
      <c r="D16" t="s">
        <v>113</v>
      </c>
      <c r="E16">
        <v>9900</v>
      </c>
      <c r="F16">
        <v>3457</v>
      </c>
    </row>
    <row r="17" spans="1:6" x14ac:dyDescent="0.3">
      <c r="A17" t="s">
        <v>121</v>
      </c>
      <c r="B17" t="s">
        <v>86</v>
      </c>
      <c r="C17">
        <v>686907668</v>
      </c>
      <c r="D17" t="s">
        <v>122</v>
      </c>
      <c r="E17">
        <v>15800</v>
      </c>
      <c r="F17">
        <v>2006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F70C1-4B27-4159-93CC-6AE6210E4E8D}">
  <sheetPr codeName="Sheet3"/>
  <dimension ref="A1:F58"/>
  <sheetViews>
    <sheetView workbookViewId="0">
      <selection activeCell="B11" sqref="B11"/>
    </sheetView>
  </sheetViews>
  <sheetFormatPr defaultRowHeight="14.4" x14ac:dyDescent="0.3"/>
  <cols>
    <col min="1" max="1" width="13.44140625" customWidth="1"/>
    <col min="2" max="3" width="12.88671875" customWidth="1"/>
    <col min="4" max="4" width="15.88671875" customWidth="1"/>
    <col min="5" max="5" width="16.21875" customWidth="1"/>
    <col min="6" max="6" width="14.5546875" customWidth="1"/>
  </cols>
  <sheetData>
    <row r="1" spans="1:6" x14ac:dyDescent="0.3">
      <c r="A1" t="s">
        <v>7</v>
      </c>
      <c r="B1" t="s">
        <v>3</v>
      </c>
      <c r="C1" t="s">
        <v>8</v>
      </c>
      <c r="D1" t="s">
        <v>9</v>
      </c>
      <c r="E1" t="s">
        <v>10</v>
      </c>
      <c r="F1" t="s">
        <v>11</v>
      </c>
    </row>
    <row r="2" spans="1:6" x14ac:dyDescent="0.3">
      <c r="A2" t="s">
        <v>19</v>
      </c>
      <c r="B2" t="s">
        <v>17</v>
      </c>
      <c r="C2" t="s">
        <v>20</v>
      </c>
      <c r="D2">
        <v>1000</v>
      </c>
      <c r="E2" s="1">
        <v>46163.466678240744</v>
      </c>
      <c r="F2">
        <v>4000</v>
      </c>
    </row>
    <row r="3" spans="1:6" x14ac:dyDescent="0.3">
      <c r="A3" t="s">
        <v>27</v>
      </c>
      <c r="B3" t="s">
        <v>17</v>
      </c>
      <c r="C3" t="s">
        <v>28</v>
      </c>
      <c r="D3">
        <v>2000</v>
      </c>
      <c r="E3" s="1">
        <v>46163.579895833333</v>
      </c>
      <c r="F3">
        <v>6000</v>
      </c>
    </row>
    <row r="4" spans="1:6" x14ac:dyDescent="0.3">
      <c r="A4" t="s">
        <v>32</v>
      </c>
      <c r="B4" t="s">
        <v>31</v>
      </c>
      <c r="C4" t="s">
        <v>20</v>
      </c>
      <c r="D4">
        <v>6000</v>
      </c>
      <c r="E4" s="1">
        <v>46163.598379629628</v>
      </c>
      <c r="F4">
        <v>0</v>
      </c>
    </row>
    <row r="5" spans="1:6" x14ac:dyDescent="0.3">
      <c r="A5" t="s">
        <v>34</v>
      </c>
      <c r="B5" t="s">
        <v>33</v>
      </c>
      <c r="C5" t="s">
        <v>28</v>
      </c>
      <c r="D5">
        <v>1000</v>
      </c>
      <c r="E5" s="1">
        <v>46163.630590277775</v>
      </c>
      <c r="F5">
        <v>3000</v>
      </c>
    </row>
    <row r="6" spans="1:6" x14ac:dyDescent="0.3">
      <c r="A6" t="s">
        <v>35</v>
      </c>
      <c r="B6" t="s">
        <v>33</v>
      </c>
      <c r="C6" t="s">
        <v>20</v>
      </c>
      <c r="D6">
        <v>1000</v>
      </c>
      <c r="E6" s="1">
        <v>46163.630613425928</v>
      </c>
      <c r="F6">
        <v>2000</v>
      </c>
    </row>
    <row r="7" spans="1:6" x14ac:dyDescent="0.3">
      <c r="A7" t="s">
        <v>36</v>
      </c>
      <c r="B7" t="s">
        <v>29</v>
      </c>
      <c r="C7" t="s">
        <v>28</v>
      </c>
      <c r="D7">
        <v>1000</v>
      </c>
      <c r="E7" s="1">
        <v>46163.63113425926</v>
      </c>
      <c r="F7">
        <v>4000</v>
      </c>
    </row>
    <row r="8" spans="1:6" x14ac:dyDescent="0.3">
      <c r="A8" t="s">
        <v>37</v>
      </c>
      <c r="B8" t="s">
        <v>29</v>
      </c>
      <c r="C8" t="s">
        <v>20</v>
      </c>
      <c r="D8">
        <v>100</v>
      </c>
      <c r="E8" s="1">
        <v>46163.631192129629</v>
      </c>
      <c r="F8">
        <v>3900</v>
      </c>
    </row>
    <row r="9" spans="1:6" x14ac:dyDescent="0.3">
      <c r="A9" t="s">
        <v>39</v>
      </c>
      <c r="B9" t="s">
        <v>38</v>
      </c>
      <c r="C9" t="s">
        <v>28</v>
      </c>
      <c r="D9">
        <v>600</v>
      </c>
      <c r="E9" s="1">
        <v>46163.632592592592</v>
      </c>
      <c r="F9">
        <v>6100</v>
      </c>
    </row>
    <row r="10" spans="1:6" x14ac:dyDescent="0.3">
      <c r="A10" t="s">
        <v>40</v>
      </c>
      <c r="B10" t="s">
        <v>38</v>
      </c>
      <c r="C10" t="s">
        <v>20</v>
      </c>
      <c r="D10">
        <v>60</v>
      </c>
      <c r="E10" s="1">
        <v>46163.632638888892</v>
      </c>
      <c r="F10">
        <v>6040</v>
      </c>
    </row>
    <row r="11" spans="1:6" x14ac:dyDescent="0.3">
      <c r="A11" t="s">
        <v>41</v>
      </c>
      <c r="B11" t="s">
        <v>38</v>
      </c>
      <c r="C11" t="s">
        <v>42</v>
      </c>
      <c r="D11">
        <v>500</v>
      </c>
      <c r="E11" s="1">
        <v>46163.637372685182</v>
      </c>
      <c r="F11">
        <v>5540</v>
      </c>
    </row>
    <row r="12" spans="1:6" x14ac:dyDescent="0.3">
      <c r="A12" t="s">
        <v>43</v>
      </c>
      <c r="B12" t="s">
        <v>33</v>
      </c>
      <c r="C12" t="s">
        <v>42</v>
      </c>
      <c r="D12">
        <v>500</v>
      </c>
      <c r="E12" s="1">
        <v>46163.639039351852</v>
      </c>
      <c r="F12">
        <v>1500</v>
      </c>
    </row>
    <row r="13" spans="1:6" x14ac:dyDescent="0.3">
      <c r="A13" t="s">
        <v>46</v>
      </c>
      <c r="B13" t="s">
        <v>44</v>
      </c>
      <c r="C13" t="s">
        <v>28</v>
      </c>
      <c r="D13">
        <v>2300</v>
      </c>
      <c r="E13" s="1">
        <v>46163.886284722219</v>
      </c>
      <c r="F13">
        <v>2900</v>
      </c>
    </row>
    <row r="14" spans="1:6" x14ac:dyDescent="0.3">
      <c r="A14" t="s">
        <v>47</v>
      </c>
      <c r="B14" t="s">
        <v>44</v>
      </c>
      <c r="C14" t="s">
        <v>20</v>
      </c>
      <c r="D14">
        <v>2300</v>
      </c>
      <c r="E14" s="1">
        <v>46163.886319444442</v>
      </c>
      <c r="F14">
        <v>600</v>
      </c>
    </row>
    <row r="15" spans="1:6" x14ac:dyDescent="0.3">
      <c r="A15" t="s">
        <v>48</v>
      </c>
      <c r="B15" t="s">
        <v>44</v>
      </c>
      <c r="C15" t="s">
        <v>28</v>
      </c>
      <c r="D15">
        <v>2300</v>
      </c>
      <c r="E15" s="1">
        <v>46163.886365740742</v>
      </c>
      <c r="F15">
        <v>2900</v>
      </c>
    </row>
    <row r="16" spans="1:6" x14ac:dyDescent="0.3">
      <c r="A16" t="s">
        <v>49</v>
      </c>
      <c r="B16" t="s">
        <v>44</v>
      </c>
      <c r="C16" t="s">
        <v>28</v>
      </c>
      <c r="D16">
        <v>2300</v>
      </c>
      <c r="E16" s="1">
        <v>46163.886400462965</v>
      </c>
      <c r="F16">
        <v>5200</v>
      </c>
    </row>
    <row r="17" spans="1:6" x14ac:dyDescent="0.3">
      <c r="A17" t="s">
        <v>50</v>
      </c>
      <c r="B17" t="s">
        <v>44</v>
      </c>
      <c r="C17" t="s">
        <v>20</v>
      </c>
      <c r="D17">
        <v>2300</v>
      </c>
      <c r="E17" s="1">
        <v>46163.886423611111</v>
      </c>
      <c r="F17">
        <v>2900</v>
      </c>
    </row>
    <row r="18" spans="1:6" x14ac:dyDescent="0.3">
      <c r="A18" t="s">
        <v>51</v>
      </c>
      <c r="B18" t="s">
        <v>44</v>
      </c>
      <c r="C18" t="s">
        <v>28</v>
      </c>
      <c r="D18">
        <v>2300</v>
      </c>
      <c r="E18" s="1">
        <v>46163.886481481481</v>
      </c>
      <c r="F18">
        <v>5200</v>
      </c>
    </row>
    <row r="19" spans="1:6" x14ac:dyDescent="0.3">
      <c r="A19" t="s">
        <v>54</v>
      </c>
      <c r="B19" t="s">
        <v>52</v>
      </c>
      <c r="C19" t="s">
        <v>28</v>
      </c>
      <c r="D19">
        <v>60000</v>
      </c>
      <c r="E19" s="1">
        <v>46163.894131944442</v>
      </c>
      <c r="F19">
        <v>63400</v>
      </c>
    </row>
    <row r="20" spans="1:6" x14ac:dyDescent="0.3">
      <c r="A20" t="s">
        <v>55</v>
      </c>
      <c r="B20" t="s">
        <v>52</v>
      </c>
      <c r="C20" t="s">
        <v>20</v>
      </c>
      <c r="D20">
        <v>600</v>
      </c>
      <c r="E20" s="1">
        <v>46163.894189814811</v>
      </c>
      <c r="F20">
        <v>62800</v>
      </c>
    </row>
    <row r="21" spans="1:6" x14ac:dyDescent="0.3">
      <c r="A21" t="s">
        <v>60</v>
      </c>
      <c r="B21" t="s">
        <v>52</v>
      </c>
      <c r="C21" t="s">
        <v>61</v>
      </c>
      <c r="D21">
        <v>500</v>
      </c>
      <c r="E21" s="1">
        <v>46163.924305555556</v>
      </c>
      <c r="F21">
        <v>62300</v>
      </c>
    </row>
    <row r="22" spans="1:6" x14ac:dyDescent="0.3">
      <c r="A22" t="s">
        <v>62</v>
      </c>
      <c r="B22" t="s">
        <v>52</v>
      </c>
      <c r="C22" t="s">
        <v>61</v>
      </c>
      <c r="D22">
        <v>500</v>
      </c>
      <c r="E22" s="1">
        <v>46163.930532407408</v>
      </c>
      <c r="F22">
        <v>61800</v>
      </c>
    </row>
    <row r="23" spans="1:6" x14ac:dyDescent="0.3">
      <c r="A23" t="s">
        <v>63</v>
      </c>
      <c r="B23" t="s">
        <v>52</v>
      </c>
      <c r="C23" t="s">
        <v>61</v>
      </c>
      <c r="D23">
        <v>500</v>
      </c>
      <c r="E23" s="1">
        <v>46163.931435185186</v>
      </c>
      <c r="F23">
        <v>61300</v>
      </c>
    </row>
    <row r="24" spans="1:6" x14ac:dyDescent="0.3">
      <c r="A24" t="s">
        <v>64</v>
      </c>
      <c r="B24" t="s">
        <v>52</v>
      </c>
      <c r="C24" t="s">
        <v>61</v>
      </c>
      <c r="D24">
        <v>500</v>
      </c>
      <c r="E24" s="1">
        <v>46163.931990740741</v>
      </c>
      <c r="F24">
        <v>60800</v>
      </c>
    </row>
    <row r="25" spans="1:6" x14ac:dyDescent="0.3">
      <c r="A25" t="s">
        <v>65</v>
      </c>
      <c r="B25" t="s">
        <v>52</v>
      </c>
      <c r="C25" t="s">
        <v>61</v>
      </c>
      <c r="D25">
        <v>500</v>
      </c>
      <c r="E25" s="1">
        <v>46163.932870370372</v>
      </c>
      <c r="F25">
        <v>60300</v>
      </c>
    </row>
    <row r="26" spans="1:6" x14ac:dyDescent="0.3">
      <c r="A26" t="s">
        <v>69</v>
      </c>
      <c r="B26" t="s">
        <v>66</v>
      </c>
      <c r="C26" t="s">
        <v>28</v>
      </c>
      <c r="D26">
        <v>300</v>
      </c>
      <c r="E26" s="1">
        <v>46164.628784722219</v>
      </c>
      <c r="F26">
        <v>900</v>
      </c>
    </row>
    <row r="27" spans="1:6" x14ac:dyDescent="0.3">
      <c r="A27" t="s">
        <v>70</v>
      </c>
      <c r="B27" t="s">
        <v>66</v>
      </c>
      <c r="C27" t="s">
        <v>20</v>
      </c>
      <c r="D27">
        <v>300</v>
      </c>
      <c r="E27" s="1">
        <v>46164.628819444442</v>
      </c>
      <c r="F27">
        <v>600</v>
      </c>
    </row>
    <row r="28" spans="1:6" x14ac:dyDescent="0.3">
      <c r="A28" t="s">
        <v>71</v>
      </c>
      <c r="B28" t="s">
        <v>52</v>
      </c>
      <c r="C28" t="s">
        <v>61</v>
      </c>
      <c r="D28">
        <v>500</v>
      </c>
      <c r="E28" s="1">
        <v>46164.647361111114</v>
      </c>
      <c r="F28">
        <v>59800</v>
      </c>
    </row>
    <row r="29" spans="1:6" x14ac:dyDescent="0.3">
      <c r="A29" t="s">
        <v>81</v>
      </c>
      <c r="B29" t="s">
        <v>66</v>
      </c>
      <c r="C29" t="s">
        <v>28</v>
      </c>
      <c r="D29">
        <v>500</v>
      </c>
      <c r="E29" s="1">
        <v>46164.885034722225</v>
      </c>
      <c r="F29">
        <v>1100</v>
      </c>
    </row>
    <row r="30" spans="1:6" x14ac:dyDescent="0.3">
      <c r="A30" t="s">
        <v>82</v>
      </c>
      <c r="B30" t="s">
        <v>66</v>
      </c>
      <c r="C30" t="s">
        <v>20</v>
      </c>
      <c r="D30">
        <v>500</v>
      </c>
      <c r="E30" s="1">
        <v>46164.885057870371</v>
      </c>
      <c r="F30">
        <v>600</v>
      </c>
    </row>
    <row r="31" spans="1:6" x14ac:dyDescent="0.3">
      <c r="A31" t="s">
        <v>93</v>
      </c>
      <c r="B31" t="s">
        <v>88</v>
      </c>
      <c r="C31" t="s">
        <v>28</v>
      </c>
      <c r="D31">
        <v>300</v>
      </c>
      <c r="E31" s="1">
        <v>46175.586365740739</v>
      </c>
      <c r="F31">
        <v>5300</v>
      </c>
    </row>
    <row r="32" spans="1:6" x14ac:dyDescent="0.3">
      <c r="A32" t="s">
        <v>94</v>
      </c>
      <c r="B32" t="s">
        <v>88</v>
      </c>
      <c r="C32" t="s">
        <v>20</v>
      </c>
      <c r="D32">
        <v>300</v>
      </c>
      <c r="E32" s="1">
        <v>46175.586388888885</v>
      </c>
      <c r="F32">
        <v>5000</v>
      </c>
    </row>
    <row r="33" spans="1:6" x14ac:dyDescent="0.3">
      <c r="A33" t="s">
        <v>95</v>
      </c>
      <c r="B33" t="s">
        <v>88</v>
      </c>
      <c r="C33" t="s">
        <v>28</v>
      </c>
      <c r="D33">
        <v>400</v>
      </c>
      <c r="E33" s="1">
        <v>46175.589363425926</v>
      </c>
      <c r="F33">
        <v>5400</v>
      </c>
    </row>
    <row r="34" spans="1:6" x14ac:dyDescent="0.3">
      <c r="A34" t="s">
        <v>96</v>
      </c>
      <c r="B34" t="s">
        <v>88</v>
      </c>
      <c r="C34" t="s">
        <v>20</v>
      </c>
      <c r="D34">
        <v>400</v>
      </c>
      <c r="E34" s="1">
        <v>46175.589386574073</v>
      </c>
      <c r="F34">
        <v>5000</v>
      </c>
    </row>
    <row r="35" spans="1:6" x14ac:dyDescent="0.3">
      <c r="A35" t="s">
        <v>97</v>
      </c>
      <c r="B35" t="s">
        <v>31</v>
      </c>
      <c r="C35" t="s">
        <v>61</v>
      </c>
      <c r="D35">
        <v>500</v>
      </c>
      <c r="E35" s="1">
        <v>46175.591238425928</v>
      </c>
      <c r="F35">
        <v>8454</v>
      </c>
    </row>
    <row r="36" spans="1:6" x14ac:dyDescent="0.3">
      <c r="A36" t="s">
        <v>98</v>
      </c>
      <c r="B36" t="s">
        <v>31</v>
      </c>
      <c r="C36" t="s">
        <v>61</v>
      </c>
      <c r="D36">
        <v>500</v>
      </c>
      <c r="E36" s="1">
        <v>46175.591921296298</v>
      </c>
      <c r="F36">
        <v>7954</v>
      </c>
    </row>
    <row r="37" spans="1:6" x14ac:dyDescent="0.3">
      <c r="A37" t="s">
        <v>99</v>
      </c>
      <c r="B37" t="s">
        <v>31</v>
      </c>
      <c r="C37" t="s">
        <v>61</v>
      </c>
      <c r="D37">
        <v>500</v>
      </c>
      <c r="E37" s="1">
        <v>46175.591944444444</v>
      </c>
      <c r="F37">
        <v>7454</v>
      </c>
    </row>
    <row r="38" spans="1:6" x14ac:dyDescent="0.3">
      <c r="A38" t="s">
        <v>100</v>
      </c>
      <c r="B38" t="s">
        <v>31</v>
      </c>
      <c r="C38" t="s">
        <v>61</v>
      </c>
      <c r="D38">
        <v>500</v>
      </c>
      <c r="E38" s="1">
        <v>46175.591967592591</v>
      </c>
      <c r="F38">
        <v>6954</v>
      </c>
    </row>
    <row r="39" spans="1:6" x14ac:dyDescent="0.3">
      <c r="A39" t="s">
        <v>101</v>
      </c>
      <c r="B39" t="s">
        <v>31</v>
      </c>
      <c r="C39" t="s">
        <v>61</v>
      </c>
      <c r="D39">
        <v>500</v>
      </c>
      <c r="E39" s="1">
        <v>46175.591990740744</v>
      </c>
      <c r="F39">
        <v>6454</v>
      </c>
    </row>
    <row r="40" spans="1:6" x14ac:dyDescent="0.3">
      <c r="A40" t="s">
        <v>102</v>
      </c>
      <c r="B40" t="s">
        <v>31</v>
      </c>
      <c r="C40" t="s">
        <v>61</v>
      </c>
      <c r="D40">
        <v>500</v>
      </c>
      <c r="E40" s="1">
        <v>46175.59202546296</v>
      </c>
      <c r="F40">
        <v>5954</v>
      </c>
    </row>
    <row r="41" spans="1:6" x14ac:dyDescent="0.3">
      <c r="A41" t="s">
        <v>103</v>
      </c>
      <c r="B41" t="s">
        <v>31</v>
      </c>
      <c r="C41" t="s">
        <v>61</v>
      </c>
      <c r="D41">
        <v>500</v>
      </c>
      <c r="E41" s="1">
        <v>46175.592997685184</v>
      </c>
      <c r="F41">
        <v>5454</v>
      </c>
    </row>
    <row r="42" spans="1:6" x14ac:dyDescent="0.3">
      <c r="A42" t="s">
        <v>104</v>
      </c>
      <c r="B42" t="s">
        <v>31</v>
      </c>
      <c r="C42" t="s">
        <v>61</v>
      </c>
      <c r="D42">
        <v>500</v>
      </c>
      <c r="E42" s="1">
        <v>46175.593032407407</v>
      </c>
      <c r="F42">
        <v>4954</v>
      </c>
    </row>
    <row r="43" spans="1:6" x14ac:dyDescent="0.3">
      <c r="A43" t="s">
        <v>105</v>
      </c>
      <c r="B43" t="s">
        <v>31</v>
      </c>
      <c r="C43" t="s">
        <v>61</v>
      </c>
      <c r="D43">
        <v>500</v>
      </c>
      <c r="E43" s="1">
        <v>46175.598425925928</v>
      </c>
      <c r="F43">
        <v>4454</v>
      </c>
    </row>
    <row r="44" spans="1:6" x14ac:dyDescent="0.3">
      <c r="A44" t="s">
        <v>106</v>
      </c>
      <c r="B44" t="s">
        <v>88</v>
      </c>
      <c r="C44" t="s">
        <v>28</v>
      </c>
      <c r="D44">
        <v>400</v>
      </c>
      <c r="E44" s="1">
        <v>46175.601956018516</v>
      </c>
      <c r="F44">
        <v>5400</v>
      </c>
    </row>
    <row r="45" spans="1:6" x14ac:dyDescent="0.3">
      <c r="A45" t="s">
        <v>107</v>
      </c>
      <c r="B45" t="s">
        <v>88</v>
      </c>
      <c r="C45" t="s">
        <v>20</v>
      </c>
      <c r="D45">
        <v>400</v>
      </c>
      <c r="E45" s="1">
        <v>46175.601979166669</v>
      </c>
      <c r="F45">
        <v>5000</v>
      </c>
    </row>
    <row r="46" spans="1:6" x14ac:dyDescent="0.3">
      <c r="A46" t="s">
        <v>108</v>
      </c>
      <c r="B46" t="s">
        <v>31</v>
      </c>
      <c r="C46" t="s">
        <v>61</v>
      </c>
      <c r="D46">
        <v>500</v>
      </c>
      <c r="E46" s="1">
        <v>46175.613263888888</v>
      </c>
      <c r="F46">
        <v>3954</v>
      </c>
    </row>
    <row r="47" spans="1:6" x14ac:dyDescent="0.3">
      <c r="A47" t="s">
        <v>109</v>
      </c>
      <c r="B47" t="s">
        <v>31</v>
      </c>
      <c r="C47" t="s">
        <v>61</v>
      </c>
      <c r="D47">
        <v>500</v>
      </c>
      <c r="E47" s="1">
        <v>46175.613530092596</v>
      </c>
      <c r="F47">
        <v>3454</v>
      </c>
    </row>
    <row r="48" spans="1:6" x14ac:dyDescent="0.3">
      <c r="A48" t="s">
        <v>110</v>
      </c>
      <c r="B48" t="s">
        <v>31</v>
      </c>
      <c r="C48" t="s">
        <v>61</v>
      </c>
      <c r="D48">
        <v>500</v>
      </c>
      <c r="E48" s="1">
        <v>46175.615555555552</v>
      </c>
      <c r="F48">
        <v>2954</v>
      </c>
    </row>
    <row r="49" spans="1:6" x14ac:dyDescent="0.3">
      <c r="A49" t="s">
        <v>114</v>
      </c>
      <c r="B49" t="s">
        <v>111</v>
      </c>
      <c r="C49" t="s">
        <v>28</v>
      </c>
      <c r="D49">
        <v>400</v>
      </c>
      <c r="E49" s="1">
        <v>46175.616319444445</v>
      </c>
      <c r="F49">
        <v>10400</v>
      </c>
    </row>
    <row r="50" spans="1:6" x14ac:dyDescent="0.3">
      <c r="A50" t="s">
        <v>115</v>
      </c>
      <c r="B50" t="s">
        <v>111</v>
      </c>
      <c r="C50" t="s">
        <v>28</v>
      </c>
      <c r="D50">
        <v>400</v>
      </c>
      <c r="E50" s="1">
        <v>46175.616388888891</v>
      </c>
      <c r="F50">
        <v>10800</v>
      </c>
    </row>
    <row r="51" spans="1:6" x14ac:dyDescent="0.3">
      <c r="A51" t="s">
        <v>116</v>
      </c>
      <c r="B51" t="s">
        <v>111</v>
      </c>
      <c r="C51" t="s">
        <v>28</v>
      </c>
      <c r="D51">
        <v>400</v>
      </c>
      <c r="E51" s="1">
        <v>46175.616435185184</v>
      </c>
      <c r="F51">
        <v>11200</v>
      </c>
    </row>
    <row r="52" spans="1:6" x14ac:dyDescent="0.3">
      <c r="A52" t="s">
        <v>117</v>
      </c>
      <c r="B52" t="s">
        <v>111</v>
      </c>
      <c r="C52" t="s">
        <v>20</v>
      </c>
      <c r="D52">
        <v>400</v>
      </c>
      <c r="E52" s="1">
        <v>46175.61645833333</v>
      </c>
      <c r="F52">
        <v>10800</v>
      </c>
    </row>
    <row r="53" spans="1:6" x14ac:dyDescent="0.3">
      <c r="A53" t="s">
        <v>118</v>
      </c>
      <c r="B53" t="s">
        <v>111</v>
      </c>
      <c r="C53" t="s">
        <v>20</v>
      </c>
      <c r="D53">
        <v>400</v>
      </c>
      <c r="E53" s="1">
        <v>46175.616527777776</v>
      </c>
      <c r="F53">
        <v>10400</v>
      </c>
    </row>
    <row r="54" spans="1:6" x14ac:dyDescent="0.3">
      <c r="A54" t="s">
        <v>119</v>
      </c>
      <c r="B54" t="s">
        <v>111</v>
      </c>
      <c r="C54" t="s">
        <v>61</v>
      </c>
      <c r="D54">
        <v>500</v>
      </c>
      <c r="E54" s="1">
        <v>46175.616990740738</v>
      </c>
      <c r="F54">
        <v>9900</v>
      </c>
    </row>
    <row r="55" spans="1:6" x14ac:dyDescent="0.3">
      <c r="A55" t="s">
        <v>120</v>
      </c>
      <c r="B55" t="s">
        <v>31</v>
      </c>
      <c r="C55" t="s">
        <v>61</v>
      </c>
      <c r="D55">
        <v>500</v>
      </c>
      <c r="E55" s="1">
        <v>46175.618391203701</v>
      </c>
      <c r="F55">
        <v>2454</v>
      </c>
    </row>
    <row r="56" spans="1:6" x14ac:dyDescent="0.3">
      <c r="A56" t="s">
        <v>123</v>
      </c>
      <c r="B56" t="s">
        <v>121</v>
      </c>
      <c r="C56" t="s">
        <v>28</v>
      </c>
      <c r="D56">
        <v>7000</v>
      </c>
      <c r="E56" s="1">
        <v>46175.621307870373</v>
      </c>
      <c r="F56">
        <v>17000</v>
      </c>
    </row>
    <row r="57" spans="1:6" x14ac:dyDescent="0.3">
      <c r="A57" t="s">
        <v>124</v>
      </c>
      <c r="B57" t="s">
        <v>121</v>
      </c>
      <c r="C57" t="s">
        <v>20</v>
      </c>
      <c r="D57">
        <v>700</v>
      </c>
      <c r="E57" s="1">
        <v>46175.621423611112</v>
      </c>
      <c r="F57">
        <v>16300</v>
      </c>
    </row>
    <row r="58" spans="1:6" x14ac:dyDescent="0.3">
      <c r="A58" t="s">
        <v>125</v>
      </c>
      <c r="B58" t="s">
        <v>121</v>
      </c>
      <c r="C58" t="s">
        <v>61</v>
      </c>
      <c r="D58">
        <v>500</v>
      </c>
      <c r="E58" s="1">
        <v>46175.621851851851</v>
      </c>
      <c r="F58">
        <v>15800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DFE2-2493-41B1-8DC6-83F1CC07C045}">
  <sheetPr codeName="Sheet6"/>
  <dimension ref="A1:C5"/>
  <sheetViews>
    <sheetView workbookViewId="0">
      <selection activeCell="B7" sqref="B7"/>
    </sheetView>
  </sheetViews>
  <sheetFormatPr defaultRowHeight="14.4" x14ac:dyDescent="0.3"/>
  <cols>
    <col min="3" max="3" width="14.33203125" bestFit="1" customWidth="1"/>
  </cols>
  <sheetData>
    <row r="1" spans="1:3" x14ac:dyDescent="0.3">
      <c r="A1" t="s">
        <v>22</v>
      </c>
    </row>
    <row r="2" spans="1:3" x14ac:dyDescent="0.3">
      <c r="A2" t="s">
        <v>23</v>
      </c>
      <c r="B2" t="s">
        <v>17</v>
      </c>
    </row>
    <row r="4" spans="1:3" x14ac:dyDescent="0.3">
      <c r="A4" t="s">
        <v>8</v>
      </c>
      <c r="B4" t="s">
        <v>9</v>
      </c>
      <c r="C4" t="s">
        <v>24</v>
      </c>
    </row>
    <row r="5" spans="1:3" x14ac:dyDescent="0.3">
      <c r="A5" t="s">
        <v>20</v>
      </c>
      <c r="B5">
        <v>1000</v>
      </c>
      <c r="C5" s="1">
        <v>46163.466678240744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B1B3-874B-449B-878E-35030B47A634}">
  <sheetPr codeName="Sheet4"/>
  <dimension ref="A1:B7"/>
  <sheetViews>
    <sheetView zoomScale="65" workbookViewId="0">
      <selection activeCell="C19" sqref="C19"/>
    </sheetView>
  </sheetViews>
  <sheetFormatPr defaultRowHeight="14.4" x14ac:dyDescent="0.3"/>
  <cols>
    <col min="1" max="1" width="23.5546875" customWidth="1"/>
    <col min="2" max="2" width="16.77734375" customWidth="1"/>
    <col min="3" max="3" width="16.33203125" customWidth="1"/>
    <col min="4" max="4" width="17.33203125" customWidth="1"/>
    <col min="5" max="5" width="15.21875" customWidth="1"/>
    <col min="6" max="6" width="12.77734375" customWidth="1"/>
  </cols>
  <sheetData>
    <row r="1" spans="1:2" ht="28.8" x14ac:dyDescent="0.3">
      <c r="A1" s="2" t="s">
        <v>21</v>
      </c>
    </row>
    <row r="3" spans="1:2" x14ac:dyDescent="0.3">
      <c r="A3" t="s">
        <v>12</v>
      </c>
      <c r="B3">
        <f>COUNTA(Accounts!A:A)-1</f>
        <v>16</v>
      </c>
    </row>
    <row r="4" spans="1:2" x14ac:dyDescent="0.3">
      <c r="A4" t="s">
        <v>13</v>
      </c>
      <c r="B4">
        <f>SUM(Accounts!E:E)</f>
        <v>107794</v>
      </c>
    </row>
    <row r="5" spans="1:2" x14ac:dyDescent="0.3">
      <c r="A5" t="s">
        <v>14</v>
      </c>
      <c r="B5">
        <f>SUMIF(Transactions!C:C,"Deposit",Transactions!D:D)</f>
        <v>83900</v>
      </c>
    </row>
    <row r="6" spans="1:2" x14ac:dyDescent="0.3">
      <c r="A6" t="s">
        <v>15</v>
      </c>
      <c r="B6">
        <f>SUMIF(Transactions!C:C,"Withdraw",Transactions!D:D)</f>
        <v>16760</v>
      </c>
    </row>
    <row r="7" spans="1:2" x14ac:dyDescent="0.3">
      <c r="A7" t="s">
        <v>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Login</vt:lpstr>
      <vt:lpstr>Mini statement</vt:lpstr>
      <vt:lpstr>Sheet1</vt:lpstr>
      <vt:lpstr>Sheet2</vt:lpstr>
      <vt:lpstr>Accounts</vt:lpstr>
      <vt:lpstr>Transactions</vt:lpstr>
      <vt:lpstr>Sheet6</vt:lpstr>
      <vt:lpstr>Dashboard</vt:lpstr>
      <vt:lpstr>'Mini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Yuvasri B</dc:creator>
  <cp:lastModifiedBy>Yuvasri B</cp:lastModifiedBy>
  <cp:lastPrinted>2026-06-02T09:26:05Z</cp:lastPrinted>
  <dcterms:created xsi:type="dcterms:W3CDTF">2026-05-21T04:14:55Z</dcterms:created>
  <dcterms:modified xsi:type="dcterms:W3CDTF">2026-06-03T03:36:57Z</dcterms:modified>
</cp:coreProperties>
</file>